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lr\finbox\excel-addin\tests\"/>
    </mc:Choice>
  </mc:AlternateContent>
  <bookViews>
    <workbookView xWindow="0" yWindow="465" windowWidth="25200" windowHeight="12225"/>
  </bookViews>
  <sheets>
    <sheet name="Tests" sheetId="1" r:id="rId1"/>
    <sheet name="Support" sheetId="2" r:id="rId2"/>
  </sheets>
  <functionGroups builtInGroupCount="18"/>
  <externalReferences>
    <externalReference r:id="rId3"/>
  </externalReferences>
  <definedNames>
    <definedName name="CIQWBGuid" hidden="1">"c7d92fcd-7351-4c97-8a15-6a2103cdf4c2"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42904.0002083333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" i="1" l="1"/>
  <c r="E8" i="1"/>
  <c r="B21" i="1"/>
  <c r="E33" i="1"/>
  <c r="E32" i="1"/>
  <c r="E31" i="1"/>
  <c r="E30" i="1"/>
  <c r="E29" i="1"/>
  <c r="E28" i="1"/>
  <c r="E26" i="1"/>
  <c r="E25" i="1"/>
  <c r="B11" i="1"/>
  <c r="B10" i="1"/>
  <c r="B5" i="1"/>
  <c r="B25" i="1"/>
  <c r="C25" i="1"/>
  <c r="D25" i="1"/>
  <c r="B26" i="1"/>
  <c r="C26" i="1"/>
  <c r="D26" i="1"/>
  <c r="B27" i="1"/>
  <c r="B28" i="1"/>
  <c r="B29" i="1"/>
  <c r="B30" i="1"/>
  <c r="B31" i="1"/>
  <c r="B32" i="1"/>
  <c r="B33" i="1"/>
  <c r="D27" i="1"/>
  <c r="D28" i="1"/>
  <c r="D29" i="1"/>
  <c r="D30" i="1"/>
  <c r="D31" i="1"/>
  <c r="D32" i="1"/>
  <c r="D33" i="1"/>
  <c r="C27" i="1"/>
  <c r="C28" i="1"/>
  <c r="C29" i="1"/>
  <c r="C30" i="1"/>
  <c r="C31" i="1"/>
  <c r="C32" i="1"/>
  <c r="C33" i="1"/>
  <c r="C21" i="1"/>
  <c r="D21" i="1"/>
  <c r="D14" i="1"/>
  <c r="C14" i="1"/>
  <c r="C13" i="1"/>
  <c r="C12" i="1"/>
  <c r="D13" i="1"/>
  <c r="D12" i="1"/>
  <c r="C11" i="1"/>
  <c r="D11" i="1"/>
  <c r="C10" i="1"/>
  <c r="D10" i="1"/>
  <c r="D9" i="1"/>
  <c r="C9" i="1"/>
  <c r="B9" i="1"/>
  <c r="D8" i="1"/>
  <c r="C8" i="1"/>
  <c r="D7" i="1"/>
  <c r="C7" i="1"/>
  <c r="D6" i="1"/>
  <c r="C6" i="1"/>
  <c r="D20" i="1"/>
  <c r="C20" i="1"/>
  <c r="D19" i="1"/>
  <c r="C19" i="1"/>
  <c r="D18" i="1"/>
  <c r="C18" i="1"/>
  <c r="D17" i="1"/>
  <c r="C17" i="1"/>
  <c r="D16" i="1"/>
  <c r="C16" i="1"/>
  <c r="D15" i="1"/>
  <c r="C15" i="1"/>
  <c r="D5" i="1"/>
  <c r="C5" i="1"/>
  <c r="D4" i="1"/>
  <c r="C4" i="1"/>
  <c r="D3" i="1"/>
  <c r="C3" i="1"/>
  <c r="E20" i="1"/>
  <c r="B20" i="1"/>
  <c r="E19" i="1"/>
  <c r="B19" i="1"/>
  <c r="E18" i="1"/>
  <c r="B18" i="1"/>
  <c r="E17" i="1"/>
  <c r="E7" i="1"/>
  <c r="B17" i="1"/>
  <c r="E16" i="1"/>
  <c r="B16" i="1"/>
  <c r="E15" i="1"/>
  <c r="E4" i="1"/>
  <c r="B15" i="1"/>
  <c r="E14" i="1"/>
  <c r="B14" i="1"/>
  <c r="E12" i="1"/>
  <c r="E11" i="1"/>
  <c r="B12" i="1"/>
  <c r="E13" i="1"/>
  <c r="B13" i="1"/>
  <c r="B8" i="1"/>
  <c r="E6" i="1"/>
  <c r="B7" i="1"/>
  <c r="B6" i="1"/>
  <c r="B4" i="1"/>
  <c r="E3" i="1"/>
  <c r="B3" i="1"/>
  <c r="E5" i="1"/>
  <c r="E9" i="1"/>
  <c r="E10" i="1"/>
  <c r="E27" i="1"/>
</calcChain>
</file>

<file path=xl/sharedStrings.xml><?xml version="1.0" encoding="utf-8"?>
<sst xmlns="http://schemas.openxmlformats.org/spreadsheetml/2006/main" count="63" uniqueCount="42">
  <si>
    <t>FNBX formula should resolve String values</t>
  </si>
  <si>
    <t>FNBX formula should resolve Number values</t>
  </si>
  <si>
    <t>FNBX formula should resolve missing values with #NULL! errors</t>
  </si>
  <si>
    <t>FNBX formula should resolve list values as concatenated strings</t>
  </si>
  <si>
    <t>FNBX formula should allow selection of a specific value in a list</t>
  </si>
  <si>
    <t>FNBX formula should allow specification of periods using a finql period string</t>
  </si>
  <si>
    <t>FNBX formula should allow specification of periods using a YYYY-MM-DD formatted date string</t>
  </si>
  <si>
    <t>FNBX formula should allow specification of periods using excel dates</t>
  </si>
  <si>
    <t>FNBX formula should allow specification of periods by referencing values from another cell</t>
  </si>
  <si>
    <t>FNBX formulas should properly resolve when nested in other non-FNBX formulas</t>
  </si>
  <si>
    <t>FNBX formulas should properly resolve when using non-FNBX formulas in arguments</t>
  </si>
  <si>
    <t>FNBX formulas should properly resolve when nested in other FNBX formulas</t>
  </si>
  <si>
    <t>FNBX formulas should properly resolve standard cell references in arguments</t>
  </si>
  <si>
    <t>FNBX formulas should properly resolve cross-sheet cell references in arguments</t>
  </si>
  <si>
    <t>FNBX formulas should properly resolve table cell references in arguments</t>
  </si>
  <si>
    <t>Test</t>
  </si>
  <si>
    <t>Passing</t>
  </si>
  <si>
    <t>Formula</t>
  </si>
  <si>
    <t>Condition</t>
  </si>
  <si>
    <t>Value</t>
  </si>
  <si>
    <t>FNBX formula should allow specification of periods using expressions that return an excel date</t>
  </si>
  <si>
    <t>FNBX formula should allow specification of periods using expressions that return a period string</t>
  </si>
  <si>
    <t>FNBX formula should allow specification of periods using expressions that return a date string</t>
  </si>
  <si>
    <t>FY2016</t>
  </si>
  <si>
    <t>AAPL</t>
  </si>
  <si>
    <t>da</t>
  </si>
  <si>
    <t>FNBX formulas should properly resolve external table cell references in arguments</t>
  </si>
  <si>
    <t>Input1</t>
  </si>
  <si>
    <t>Input2</t>
  </si>
  <si>
    <t>Input3</t>
  </si>
  <si>
    <t>External Table</t>
  </si>
  <si>
    <t>FNBX Spec</t>
  </si>
  <si>
    <t>Error Handling</t>
  </si>
  <si>
    <t>FNBX formulas should return #VALUE! for invalid key errors</t>
  </si>
  <si>
    <t>FNBX formulas should return #VALUE! for invalid period errors</t>
  </si>
  <si>
    <t>FNBX formulas should return #VALUE! for unsupported company errors</t>
  </si>
  <si>
    <t>FNBX formulas should return #VALUE! for unsupported metric errors</t>
  </si>
  <si>
    <t>FNBX formulas should return #N/A! for restricted company errors</t>
  </si>
  <si>
    <t>FNBX formulas should return #N/A! for restricted metric errors</t>
  </si>
  <si>
    <t>FNBX formulas should return #N/A! for unspecified api errors</t>
  </si>
  <si>
    <t>FNBX formulas should return #VALUE! for functions with no ticker</t>
  </si>
  <si>
    <t>FNBX formulas should return #VALUE! for functions with no 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</si>
</sst>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44" fontId="0" fillId="0" borderId="0" xfId="1" applyFont="1"/>
    <xf numFmtId="0" fontId="3" fillId="0" borderId="0" xfId="0" applyFont="1"/>
    <xf numFmtId="0" fontId="0" fillId="0" borderId="0" xfId="0" applyNumberFormat="1"/>
    <xf numFmtId="2" fontId="0" fillId="0" borderId="0" xfId="0" applyNumberFormat="1"/>
  </cellXfs>
  <cellStyles count="2">
    <cellStyle name="Currency" xfId="1" builtinId="4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r/finbox/excel-addin/finboxio.instal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FNBX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Table1" displayName="Table1" ref="A2:H21" totalsRowShown="0" headerRowDxfId="6">
  <autoFilter ref="A2:H21"/>
  <tableColumns count="8">
    <tableColumn id="1" name="Test"/>
    <tableColumn id="2" name="Passing"/>
    <tableColumn id="3" name="Formula" dataDxfId="5">
      <calculatedColumnFormula>CELLTEXT(E3)</calculatedColumnFormula>
    </tableColumn>
    <tableColumn id="4" name="Condition" dataDxfId="4">
      <calculatedColumnFormula>CELLTEXT(B3)</calculatedColumnFormula>
    </tableColumn>
    <tableColumn id="5" name="Value"/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ternal" displayName="External" ref="J20:L21" totalsRowShown="0">
  <autoFilter ref="J20:L21"/>
  <tableColumns count="3">
    <tableColumn id="1" name="Input1"/>
    <tableColumn id="2" name="Input2"/>
    <tableColumn id="3" name="Input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4:H33" totalsRowShown="0">
  <autoFilter ref="A24:H33"/>
  <tableColumns count="8">
    <tableColumn id="1" name="Test"/>
    <tableColumn id="2" name="Passing" dataDxfId="3">
      <calculatedColumnFormula>EXACT(CELLVALUE(E25),"#VALUE!")</calculatedColumnFormula>
    </tableColumn>
    <tableColumn id="3" name="Formula" dataDxfId="2">
      <calculatedColumnFormula>CELLTEXT(E25)</calculatedColumnFormula>
    </tableColumn>
    <tableColumn id="4" name="Condition" dataDxfId="1">
      <calculatedColumnFormula>CELLTEXT(B25)</calculatedColumnFormula>
    </tableColumn>
    <tableColumn id="5" name="Value" dataDxfId="0">
      <calculatedColumnFormula>[1]!FNBX()</calculatedColumnFormula>
    </tableColumn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3"/>
  <sheetViews>
    <sheetView tabSelected="1" workbookViewId="0">
      <selection activeCell="A23" sqref="A23"/>
    </sheetView>
  </sheetViews>
  <sheetFormatPr defaultColWidth="8.85546875" defaultRowHeight="15" x14ac:dyDescent="0.25"/>
  <cols>
    <col min="1" max="1" width="93.42578125" customWidth="1"/>
    <col min="2" max="2" width="13" customWidth="1"/>
    <col min="3" max="3" width="72.85546875" customWidth="1"/>
    <col min="4" max="4" width="39.7109375" customWidth="1"/>
    <col min="5" max="5" width="19.7109375" customWidth="1"/>
    <col min="6" max="8" width="10.140625" customWidth="1"/>
    <col min="10" max="13" width="11" customWidth="1"/>
  </cols>
  <sheetData>
    <row r="1" spans="1:8" x14ac:dyDescent="0.25">
      <c r="A1" s="1" t="s">
        <v>31</v>
      </c>
    </row>
    <row r="2" spans="1:8" s="1" customFormat="1" x14ac:dyDescent="0.25">
      <c r="A2" s="1" t="s">
        <v>15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27</v>
      </c>
      <c r="G2" s="1" t="s">
        <v>28</v>
      </c>
      <c r="H2" s="1" t="s">
        <v>29</v>
      </c>
    </row>
    <row r="3" spans="1:8" x14ac:dyDescent="0.25">
      <c r="A3" t="s">
        <v>0</v>
      </c>
      <c r="B3" t="b">
        <f ca="1">EXACT(E3,"Apple Inc.")</f>
        <v>1</v>
      </c>
      <c r="C3" s="3" t="str">
        <f t="shared" ref="C3:C14" ca="1" si="0">CELLTEXT(E3)</f>
        <v>=FNBX("AAPL","name")</v>
      </c>
      <c r="D3" s="3" t="str">
        <f t="shared" ref="D3:D14" ca="1" si="1">CELLTEXT(B3)</f>
        <v>=EXACT(E3,"Apple Inc.")</v>
      </c>
      <c r="E3" t="str">
        <f ca="1">[1]!FNBX("AAPL","name")</f>
        <v>Apple Inc.</v>
      </c>
    </row>
    <row r="4" spans="1:8" x14ac:dyDescent="0.25">
      <c r="A4" t="s">
        <v>1</v>
      </c>
      <c r="B4" t="b">
        <f ca="1">EXACT(TYPE(E4),TYPE(1))</f>
        <v>1</v>
      </c>
      <c r="C4" s="3" t="str">
        <f t="shared" ca="1" si="0"/>
        <v>=FNBX("AAPL","revenue")</v>
      </c>
      <c r="D4" s="3" t="str">
        <f t="shared" ca="1" si="1"/>
        <v>=EXACT(TYPE(E4),TYPE(1))</v>
      </c>
      <c r="E4">
        <f ca="1">[1]!FNBX("AAPL","revenue")</f>
        <v>220457</v>
      </c>
    </row>
    <row r="5" spans="1:8" x14ac:dyDescent="0.25">
      <c r="A5" t="s">
        <v>2</v>
      </c>
      <c r="B5" t="b">
        <f ca="1">EXACT(CELLVALUE(E5),"#NULL!")</f>
        <v>1</v>
      </c>
      <c r="C5" s="3" t="str">
        <f t="shared" ca="1" si="0"/>
        <v>=FNBX("AAPL","stock_price_close","Y2017.M7.D4")</v>
      </c>
      <c r="D5" s="3" t="str">
        <f t="shared" ca="1" si="1"/>
        <v>=EXACT(CELLVALUE(E5),"#NULL!")</v>
      </c>
      <c r="E5" t="e">
        <f ca="1">[1]!FNBX("AAPL","stock_price_close","Y2017.M7.D4")</f>
        <v>#NULL!</v>
      </c>
    </row>
    <row r="6" spans="1:8" x14ac:dyDescent="0.25">
      <c r="A6" t="s">
        <v>3</v>
      </c>
      <c r="B6" t="b">
        <f ca="1">FIND(",",E6) &gt; 0</f>
        <v>1</v>
      </c>
      <c r="C6" s="3" t="str">
        <f t="shared" ca="1" si="0"/>
        <v>=FNBX("AAPL","benchmarks")</v>
      </c>
      <c r="D6" s="3" t="str">
        <f t="shared" ca="1" si="1"/>
        <v>=FIND(",",E6) &gt; 0</v>
      </c>
      <c r="E6" t="str">
        <f ca="1">[1]!FNBX("AAPL","benchmarks")</f>
        <v>HPQ,HPE,PSTG,AVID,BCOV,CPAH,CRM,CTXS,DAKT,NCR</v>
      </c>
    </row>
    <row r="7" spans="1:8" x14ac:dyDescent="0.25">
      <c r="A7" t="s">
        <v>4</v>
      </c>
      <c r="B7" t="b">
        <f ca="1">EXACT(E7,MID(E6,FIND(",",E6)+1,LEN(E7)))</f>
        <v>1</v>
      </c>
      <c r="C7" s="3" t="str">
        <f t="shared" ca="1" si="0"/>
        <v>=FNBX("AAPL","benchmarks",2)</v>
      </c>
      <c r="D7" s="3" t="str">
        <f t="shared" ca="1" si="1"/>
        <v>=EXACT(E7,MID(E6,FIND(",",E6)+1,LEN(E7)))</v>
      </c>
      <c r="E7" t="str">
        <f ca="1">[1]!FNBX("AAPL","benchmarks",2)</f>
        <v>HPE</v>
      </c>
    </row>
    <row r="8" spans="1:8" x14ac:dyDescent="0.25">
      <c r="A8" t="s">
        <v>5</v>
      </c>
      <c r="B8" t="b">
        <f ca="1">EXACT(E8,10505)</f>
        <v>1</v>
      </c>
      <c r="C8" s="3" t="str">
        <f t="shared" ca="1" si="0"/>
        <v>=FNBX("AAPL","da","FY2016")</v>
      </c>
      <c r="D8" s="3" t="str">
        <f t="shared" ca="1" si="1"/>
        <v>=EXACT(E8,10505)</v>
      </c>
      <c r="E8">
        <f ca="1">[1]!FNBX("AAPL","da","FY2016")</f>
        <v>10505</v>
      </c>
    </row>
    <row r="9" spans="1:8" x14ac:dyDescent="0.25">
      <c r="A9" t="s">
        <v>6</v>
      </c>
      <c r="B9" t="b">
        <f ca="1">AND(FIND("$",CELLVALUE(E9)),FIND("143.71",CELLVALUE(E9)))</f>
        <v>1</v>
      </c>
      <c r="C9" s="3" t="str">
        <f t="shared" ca="1" si="0"/>
        <v>=FNBX("AAPL","stock_price_close","2017-06-15")</v>
      </c>
      <c r="D9" s="3" t="str">
        <f t="shared" ca="1" si="1"/>
        <v>=AND(FIND("$",CELLVALUE(E9)),FIND("143.71",CELLVALUE(E9)))</v>
      </c>
      <c r="E9" s="2">
        <f ca="1">[1]!FNBX("AAPL","stock_price_close","2017-06-15")</f>
        <v>143.70710355883296</v>
      </c>
    </row>
    <row r="10" spans="1:8" x14ac:dyDescent="0.25">
      <c r="A10" t="s">
        <v>7</v>
      </c>
      <c r="B10" t="b">
        <f ca="1">EXACT(CELLVALUE(E10),"144.57")</f>
        <v>1</v>
      </c>
      <c r="C10" s="3" t="str">
        <f t="shared" ca="1" si="0"/>
        <v>=FNBX("AAPL","stock_price_close",42900)</v>
      </c>
      <c r="D10" s="3" t="str">
        <f t="shared" ca="1" si="1"/>
        <v>=EXACT(CELLVALUE(E10),"144.57")</v>
      </c>
      <c r="E10" s="5">
        <f ca="1">[1]!FNBX("AAPL","stock_price_close",42900)</f>
        <v>144.57358897082398</v>
      </c>
    </row>
    <row r="11" spans="1:8" x14ac:dyDescent="0.25">
      <c r="A11" t="s">
        <v>20</v>
      </c>
      <c r="B11" t="b">
        <f ca="1">EXACT(CELLVALUE(E11),"95.21")</f>
        <v>1</v>
      </c>
      <c r="C11" s="3" t="str">
        <f t="shared" ca="1" si="0"/>
        <v>=FNBX("AAPL","stock_price_close",DATE(2016,7,12))</v>
      </c>
      <c r="D11" s="3" t="str">
        <f t="shared" ca="1" si="1"/>
        <v>=EXACT(CELLVALUE(E11),"95.21")</v>
      </c>
      <c r="E11" s="5">
        <f ca="1">[1]!FNBX("AAPL","stock_price_close",DATE(2016,7,12))</f>
        <v>95.207480667900029</v>
      </c>
    </row>
    <row r="12" spans="1:8" x14ac:dyDescent="0.25">
      <c r="A12" t="s">
        <v>21</v>
      </c>
      <c r="B12" t="b">
        <f ca="1">E12=E11</f>
        <v>1</v>
      </c>
      <c r="C12" s="3" t="str">
        <f t="shared" ca="1" si="0"/>
        <v>=FNBX("AAPL","stock_price_close","Y"&amp;2016&amp;".M"&amp;7&amp;".D"&amp;12)</v>
      </c>
      <c r="D12" s="3" t="str">
        <f t="shared" ca="1" si="1"/>
        <v>=E12=E11</v>
      </c>
      <c r="E12" s="5">
        <f ca="1">[1]!FNBX("AAPL","stock_price_close","Y"&amp;2016&amp;".M"&amp;7&amp;".D"&amp;12)</f>
        <v>95.207480667900029</v>
      </c>
    </row>
    <row r="13" spans="1:8" x14ac:dyDescent="0.25">
      <c r="A13" t="s">
        <v>22</v>
      </c>
      <c r="B13" t="b">
        <f ca="1">E13=E11</f>
        <v>1</v>
      </c>
      <c r="C13" s="3" t="str">
        <f t="shared" ca="1" si="0"/>
        <v>=FNBX("AAPL","stock_price_close",TEXT(DATE(2016,7,12),"dd/mmmm/yyyy"))</v>
      </c>
      <c r="D13" s="3" t="str">
        <f t="shared" ca="1" si="1"/>
        <v>=E13=E11</v>
      </c>
      <c r="E13" s="5">
        <f ca="1">[1]!FNBX("AAPL","stock_price_close",TEXT(DATE(2016,7,12),"dd/mmmm/yyyy"))</f>
        <v>95.207480667900029</v>
      </c>
    </row>
    <row r="14" spans="1:8" x14ac:dyDescent="0.25">
      <c r="A14" t="s">
        <v>8</v>
      </c>
      <c r="B14" t="b">
        <f ca="1">E14=E8</f>
        <v>1</v>
      </c>
      <c r="C14" s="3" t="str">
        <f t="shared" ca="1" si="0"/>
        <v>=FNBX("AAPL","da",F14)</v>
      </c>
      <c r="D14" s="3" t="str">
        <f t="shared" ca="1" si="1"/>
        <v>=E14=E8</v>
      </c>
      <c r="E14">
        <f ca="1">[1]!FNBX("AAPL","da",F14)</f>
        <v>10505</v>
      </c>
      <c r="F14" t="s">
        <v>23</v>
      </c>
    </row>
    <row r="15" spans="1:8" x14ac:dyDescent="0.25">
      <c r="A15" t="s">
        <v>9</v>
      </c>
      <c r="B15" t="b">
        <f ca="1">E15=E4</f>
        <v>1</v>
      </c>
      <c r="C15" s="3" t="str">
        <f t="shared" ref="C15:C20" ca="1" si="2">CELLTEXT(E15)</f>
        <v>=IFERROR(FNBX("AAPL","revenue"),"error")</v>
      </c>
      <c r="D15" s="3" t="str">
        <f t="shared" ref="D15:D20" ca="1" si="3">CELLTEXT(B15)</f>
        <v>=E15=E4</v>
      </c>
      <c r="E15">
        <f ca="1">IFERROR([1]!FNBX("AAPL","revenue"),"error")</f>
        <v>220457</v>
      </c>
    </row>
    <row r="16" spans="1:8" x14ac:dyDescent="0.25">
      <c r="A16" t="s">
        <v>10</v>
      </c>
      <c r="B16" t="b">
        <f ca="1">E16=E8</f>
        <v>1</v>
      </c>
      <c r="C16" s="3" t="str">
        <f t="shared" ca="1" si="2"/>
        <v>=FNBX(UPPER("aapl"),LOWER("DA"),"FY2016")</v>
      </c>
      <c r="D16" s="3" t="str">
        <f t="shared" ca="1" si="3"/>
        <v>=E16=E8</v>
      </c>
      <c r="E16">
        <f ca="1">[1]!FNBX(UPPER("aapl"),LOWER("DA"),"FY2016")</f>
        <v>10505</v>
      </c>
    </row>
    <row r="17" spans="1:12" x14ac:dyDescent="0.25">
      <c r="A17" t="s">
        <v>11</v>
      </c>
      <c r="B17" t="b">
        <f ca="1">E17=E7</f>
        <v>1</v>
      </c>
      <c r="C17" s="3" t="str">
        <f t="shared" ca="1" si="2"/>
        <v>=FNBX(FNBX("AAPL","benchmarks",2),"ticker")</v>
      </c>
      <c r="D17" s="3" t="str">
        <f t="shared" ca="1" si="3"/>
        <v>=E17=E7</v>
      </c>
      <c r="E17" t="str">
        <f ca="1">[1]!FNBX([1]!FNBX("AAPL","benchmarks",2),"ticker")</f>
        <v>HPE</v>
      </c>
    </row>
    <row r="18" spans="1:12" x14ac:dyDescent="0.25">
      <c r="A18" t="s">
        <v>12</v>
      </c>
      <c r="B18" t="b">
        <f ca="1">E18=E8</f>
        <v>1</v>
      </c>
      <c r="C18" s="3" t="str">
        <f t="shared" ca="1" si="2"/>
        <v>=FNBX(F18,G18,H18)</v>
      </c>
      <c r="D18" s="3" t="str">
        <f t="shared" ca="1" si="3"/>
        <v>=E18=E8</v>
      </c>
      <c r="E18">
        <f ca="1">[1]!FNBX(F18,G18,H18)</f>
        <v>10505</v>
      </c>
      <c r="F18" t="s">
        <v>24</v>
      </c>
      <c r="G18" t="s">
        <v>25</v>
      </c>
      <c r="H18" t="s">
        <v>23</v>
      </c>
    </row>
    <row r="19" spans="1:12" x14ac:dyDescent="0.25">
      <c r="A19" t="s">
        <v>13</v>
      </c>
      <c r="B19" t="b">
        <f ca="1">E19=E8</f>
        <v>1</v>
      </c>
      <c r="C19" s="3" t="str">
        <f t="shared" ca="1" si="2"/>
        <v>=FNBX(Support!A1,Support!B1,Support!C1)</v>
      </c>
      <c r="D19" s="3" t="str">
        <f t="shared" ca="1" si="3"/>
        <v>=E19=E8</v>
      </c>
      <c r="E19">
        <f ca="1">[1]!FNBX(Support!A1,Support!B1,Support!C1)</f>
        <v>10505</v>
      </c>
      <c r="J19" s="1" t="s">
        <v>30</v>
      </c>
    </row>
    <row r="20" spans="1:12" x14ac:dyDescent="0.25">
      <c r="A20" t="s">
        <v>14</v>
      </c>
      <c r="B20" t="b">
        <f ca="1">E20=E8</f>
        <v>1</v>
      </c>
      <c r="C20" s="3" t="str">
        <f t="shared" ca="1" si="2"/>
        <v>=FNBX([@Input1],[@Input2],[@Input3])</v>
      </c>
      <c r="D20" s="3" t="str">
        <f t="shared" ca="1" si="3"/>
        <v>=E20=E8</v>
      </c>
      <c r="E20">
        <f ca="1">[1]!FNBX(Table1[[#This Row],[Input1]],Table1[[#This Row],[Input2]],Table1[[#This Row],[Input3]])</f>
        <v>10505</v>
      </c>
      <c r="F20" t="s">
        <v>24</v>
      </c>
      <c r="G20" t="s">
        <v>25</v>
      </c>
      <c r="H20" t="s">
        <v>23</v>
      </c>
      <c r="J20" t="s">
        <v>27</v>
      </c>
      <c r="K20" t="s">
        <v>28</v>
      </c>
      <c r="L20" t="s">
        <v>29</v>
      </c>
    </row>
    <row r="21" spans="1:12" x14ac:dyDescent="0.25">
      <c r="A21" t="s">
        <v>26</v>
      </c>
      <c r="B21" t="b">
        <f ca="1">E21=E8</f>
        <v>1</v>
      </c>
      <c r="C21" s="3" t="str">
        <f ca="1">CELLTEXT(E21)</f>
        <v>=FNBX(External[Input1],External[Input2],External[Input3])</v>
      </c>
      <c r="D21" s="3" t="str">
        <f ca="1">CELLTEXT(B21)</f>
        <v>=E21=E8</v>
      </c>
      <c r="E21">
        <f ca="1">[1]!FNBX(External[Input1],External[Input2],External[Input3])</f>
        <v>10505</v>
      </c>
      <c r="J21" t="s">
        <v>24</v>
      </c>
      <c r="K21" t="s">
        <v>25</v>
      </c>
      <c r="L21" t="s">
        <v>23</v>
      </c>
    </row>
    <row r="23" spans="1:12" x14ac:dyDescent="0.25">
      <c r="A23" s="1" t="s">
        <v>32</v>
      </c>
    </row>
    <row r="24" spans="1:12" x14ac:dyDescent="0.25">
      <c r="A24" t="s">
        <v>15</v>
      </c>
      <c r="B24" t="s">
        <v>16</v>
      </c>
      <c r="C24" t="s">
        <v>17</v>
      </c>
      <c r="D24" t="s">
        <v>18</v>
      </c>
      <c r="E24" t="s">
        <v>19</v>
      </c>
      <c r="F24" t="s">
        <v>27</v>
      </c>
      <c r="G24" t="s">
        <v>28</v>
      </c>
      <c r="H24" t="s">
        <v>29</v>
      </c>
    </row>
    <row r="25" spans="1:12" x14ac:dyDescent="0.25">
      <c r="A25" t="s">
        <v>40</v>
      </c>
      <c r="B25" s="4" t="b">
        <f ca="1">EXACT(CELLVALUE(E25),"#VALUE!")</f>
        <v>1</v>
      </c>
      <c r="C25" s="4" t="str">
        <f ca="1">CELLTEXT(E25)</f>
        <v>=FNBX()</v>
      </c>
      <c r="D25" s="4" t="str">
        <f ca="1">CELLTEXT(B25)</f>
        <v>=EXACT(CELLVALUE(E25),"#VALUE!")</v>
      </c>
      <c r="E25" s="4" t="e">
        <f>[1]!FNBX()</f>
        <v>#VALUE!</v>
      </c>
    </row>
    <row r="26" spans="1:12" x14ac:dyDescent="0.25">
      <c r="A26" t="s">
        <v>41</v>
      </c>
      <c r="B26" s="4" t="b">
        <f ca="1">EXACT(CELLVALUE(E26),"#VALUE!")</f>
        <v>1</v>
      </c>
      <c r="C26" s="4" t="str">
        <f ca="1">CELLTEXT(E26)</f>
        <v>=FNBX("AAPL")</v>
      </c>
      <c r="D26" s="4" t="str">
        <f ca="1">CELLTEXT(B26)</f>
        <v>=EXACT(CELLVALUE(E26),"#VALUE!")</v>
      </c>
      <c r="E26" s="4" t="e">
        <f>[1]!FNBX("AAPL")</f>
        <v>#VALUE!</v>
      </c>
    </row>
    <row r="27" spans="1:12" x14ac:dyDescent="0.25">
      <c r="A27" t="s">
        <v>33</v>
      </c>
      <c r="B27" t="b">
        <f t="shared" ref="B27:B33" ca="1" si="4">EXACT(CELLVALUE(E27),"#VALUE!")</f>
        <v>1</v>
      </c>
      <c r="C27" s="3" t="str">
        <f t="shared" ref="C27:C33" ca="1" si="5">CELLTEXT(E27)</f>
        <v>=FNBX("AAPL","w()")</v>
      </c>
      <c r="D27" s="3" t="str">
        <f t="shared" ref="D27:D33" ca="1" si="6">CELLTEXT(B27)</f>
        <v>=EXACT(CELLVALUE(E27),"#VALUE!")</v>
      </c>
      <c r="E27" t="e">
        <f ca="1">[1]!FNBX("AAPL","w()")</f>
        <v>#VALUE!</v>
      </c>
    </row>
    <row r="28" spans="1:12" x14ac:dyDescent="0.25">
      <c r="A28" t="s">
        <v>34</v>
      </c>
      <c r="B28" t="b">
        <f t="shared" ca="1" si="4"/>
        <v>1</v>
      </c>
      <c r="C28" t="str">
        <f t="shared" ca="1" si="5"/>
        <v>=FNBX()</v>
      </c>
      <c r="D28" t="str">
        <f t="shared" ca="1" si="6"/>
        <v>=EXACT(CELLVALUE(E28),"#VALUE!")</v>
      </c>
      <c r="E28" t="e">
        <f>[1]!FNBX()</f>
        <v>#VALUE!</v>
      </c>
    </row>
    <row r="29" spans="1:12" x14ac:dyDescent="0.25">
      <c r="A29" t="s">
        <v>35</v>
      </c>
      <c r="B29" t="b">
        <f t="shared" ca="1" si="4"/>
        <v>1</v>
      </c>
      <c r="C29" t="str">
        <f t="shared" ca="1" si="5"/>
        <v>=FNBX()</v>
      </c>
      <c r="D29" t="str">
        <f t="shared" ca="1" si="6"/>
        <v>=EXACT(CELLVALUE(E29),"#VALUE!")</v>
      </c>
      <c r="E29" t="e">
        <f>[1]!FNBX()</f>
        <v>#VALUE!</v>
      </c>
    </row>
    <row r="30" spans="1:12" x14ac:dyDescent="0.25">
      <c r="A30" t="s">
        <v>36</v>
      </c>
      <c r="B30" t="b">
        <f t="shared" ca="1" si="4"/>
        <v>1</v>
      </c>
      <c r="C30" t="str">
        <f t="shared" ca="1" si="5"/>
        <v>=FNBX()</v>
      </c>
      <c r="D30" t="str">
        <f t="shared" ca="1" si="6"/>
        <v>=EXACT(CELLVALUE(E30),"#VALUE!")</v>
      </c>
      <c r="E30" t="e">
        <f>[1]!FNBX()</f>
        <v>#VALUE!</v>
      </c>
    </row>
    <row r="31" spans="1:12" x14ac:dyDescent="0.25">
      <c r="A31" t="s">
        <v>37</v>
      </c>
      <c r="B31" t="b">
        <f t="shared" ca="1" si="4"/>
        <v>1</v>
      </c>
      <c r="C31" t="str">
        <f t="shared" ca="1" si="5"/>
        <v>=FNBX()</v>
      </c>
      <c r="D31" t="str">
        <f t="shared" ca="1" si="6"/>
        <v>=EXACT(CELLVALUE(E31),"#VALUE!")</v>
      </c>
      <c r="E31" t="e">
        <f>[1]!FNBX()</f>
        <v>#VALUE!</v>
      </c>
    </row>
    <row r="32" spans="1:12" x14ac:dyDescent="0.25">
      <c r="A32" t="s">
        <v>38</v>
      </c>
      <c r="B32" t="b">
        <f t="shared" ca="1" si="4"/>
        <v>1</v>
      </c>
      <c r="C32" t="str">
        <f t="shared" ca="1" si="5"/>
        <v>=FNBX()</v>
      </c>
      <c r="D32" t="str">
        <f t="shared" ca="1" si="6"/>
        <v>=EXACT(CELLVALUE(E32),"#VALUE!")</v>
      </c>
      <c r="E32" t="e">
        <f>[1]!FNBX()</f>
        <v>#VALUE!</v>
      </c>
    </row>
    <row r="33" spans="1:5" x14ac:dyDescent="0.25">
      <c r="A33" t="s">
        <v>39</v>
      </c>
      <c r="B33" t="b">
        <f t="shared" ca="1" si="4"/>
        <v>1</v>
      </c>
      <c r="C33" t="str">
        <f t="shared" ca="1" si="5"/>
        <v>=FNBX()</v>
      </c>
      <c r="D33" t="str">
        <f t="shared" ca="1" si="6"/>
        <v>=EXACT(CELLVALUE(E33),"#VALUE!")</v>
      </c>
      <c r="E33" t="e">
        <f>[1]!FNBX()</f>
        <v>#VALUE!</v>
      </c>
    </row>
  </sheetData>
  <conditionalFormatting sqref="B1:B1048576">
    <cfRule type="containsBlanks" dxfId="9" priority="1" stopIfTrue="1">
      <formula>LEN(TRIM(B1))=0</formula>
    </cfRule>
    <cfRule type="cellIs" dxfId="8" priority="2" operator="equal">
      <formula>TRUE</formula>
    </cfRule>
    <cfRule type="cellIs" dxfId="7" priority="3" operator="equal">
      <formula>FALSE</formula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 t="s">
        <v>24</v>
      </c>
      <c r="B1" t="s">
        <v>25</v>
      </c>
      <c r="C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Dentino</dc:creator>
  <cp:lastModifiedBy>Brian Dentino</cp:lastModifiedBy>
  <dcterms:created xsi:type="dcterms:W3CDTF">2017-08-11T16:33:26Z</dcterms:created>
  <dcterms:modified xsi:type="dcterms:W3CDTF">2017-08-15T05:41:49Z</dcterms:modified>
</cp:coreProperties>
</file>